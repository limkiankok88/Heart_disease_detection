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<sst xmlns="http://schemas.openxmlformats.org/spreadsheetml/2006/main" count="27" uniqueCount="27">
  <si>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Predicted</t>
  </si>
  <si>
    <t>Actual</t>
  </si>
  <si>
    <t xml:space="preserve">TP </t>
  </si>
  <si>
    <t>FN</t>
  </si>
  <si>
    <t>True Positive</t>
  </si>
  <si>
    <t>False Negative</t>
  </si>
  <si>
    <t xml:space="preserve">FP </t>
  </si>
  <si>
    <t>TN</t>
  </si>
  <si>
    <t>False Positive</t>
  </si>
  <si>
    <t>True Negative</t>
  </si>
  <si>
    <t>SubTotal</t>
  </si>
  <si>
    <t>Total count</t>
  </si>
  <si>
    <t>Precision</t>
  </si>
  <si>
    <t>Recall</t>
  </si>
  <si>
    <t>F1 Score</t>
  </si>
  <si>
    <t>TP/TP+FP</t>
  </si>
  <si>
    <t>TP/TP+FN</t>
  </si>
  <si>
    <t>2×Precision*Recall/(Precision+Recall)</t>
  </si>
  <si>
    <t>TN/FN+TN</t>
  </si>
  <si>
    <t>TN/FP+TN</t>
  </si>
  <si>
    <t>Accuracy</t>
  </si>
  <si>
    <t>(TP+TN)​/Total</t>
  </si>
  <si>
    <t>macro avg</t>
  </si>
  <si>
    <t>weighted avg</t>
  </si>
  <si>
    <t>Ask ChatGPT to compute</t>
  </si>
  <si>
    <t>confusion matrix</t>
  </si>
  <si>
    <t>calculate precision recall f1-score support, 
accuracy macro avg weighted 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</si>
</sst>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95250</xdr:colOff>
      <xdr:row>2</xdr:row>
      <xdr:rowOff>102235</xdr:rowOff>
    </xdr:from>
    <xdr:to>
      <xdr:col>13</xdr:col>
      <xdr:colOff>488950</xdr:colOff>
      <xdr:row>18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43550" y="470535"/>
          <a:ext cx="5232400" cy="2920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F8" sqref="F8"/>
    </sheetView>
  </sheetViews>
  <sheetFormatPr defaultColWidth="8.72727272727273" defaultRowHeight="14.5" outlineLevelCol="5"/>
  <cols>
    <col min="1" max="1" width="12.8181818181818" customWidth="1"/>
    <col min="2" max="4" width="12.8181818181818"/>
    <col min="5" max="5" width="12.9090909090909" customWidth="1"/>
    <col min="6" max="6" width="13.8181818181818" customWidth="1"/>
    <col min="9" max="10" width="12.8181818181818"/>
  </cols>
  <sheetData>
    <row r="1" spans="1:6">
      <c r="B1" t="s">
        <v>0</v>
      </c>
    </row>
    <row r="3" spans="1:6">
      <c r="A3" t="s">
        <v>1</v>
      </c>
      <c r="B3" s="3" t="s">
        <v>2</v>
      </c>
      <c r="C3" s="3" t="s">
        <v>3</v>
      </c>
      <c r="E3" s="3" t="s">
        <v>4</v>
      </c>
      <c r="F3" s="3" t="s">
        <v>5</v>
      </c>
    </row>
    <row r="4" spans="1:6">
      <c r="B4" s="3" t="s">
        <v>6</v>
      </c>
      <c r="C4" s="3" t="s">
        <v>7</v>
      </c>
      <c r="E4" s="3" t="s">
        <v>8</v>
      </c>
      <c r="F4" s="3" t="s">
        <v>9</v>
      </c>
    </row>
    <row r="6" spans="1:6">
      <c r="D6" t="s">
        <v>10</v>
      </c>
      <c r="E6" t="s">
        <v>11</v>
      </c>
    </row>
    <row r="7" spans="1:6">
      <c r="B7" s="4">
        <v>89</v>
      </c>
      <c r="C7" s="4">
        <v>16</v>
      </c>
      <c r="D7">
        <f>SUM(B7:C7)</f>
        <v>105</v>
      </c>
    </row>
    <row r="8" spans="1:6">
      <c r="B8" s="4">
        <v>37</v>
      </c>
      <c r="C8" s="4">
        <v>37</v>
      </c>
      <c r="D8">
        <f>SUM(B8:C8)</f>
        <v>74</v>
      </c>
      <c r="E8">
        <f>SUM(B7:C8)</f>
        <v>179</v>
      </c>
    </row>
    <row r="12" spans="1:6">
      <c r="B12" t="s">
        <v>12</v>
      </c>
      <c r="C12" t="s">
        <v>13</v>
      </c>
      <c r="D12" t="s">
        <v>14</v>
      </c>
    </row>
    <row r="13" spans="1:6">
      <c r="A13">
        <v>0</v>
      </c>
      <c r="B13" t="s">
        <v>15</v>
      </c>
      <c r="C13" t="s">
        <v>16</v>
      </c>
      <c r="D13" t="s">
        <v>17</v>
      </c>
    </row>
    <row r="14" spans="1:6">
      <c r="A14">
        <v>1</v>
      </c>
      <c r="B14" t="s">
        <v>18</v>
      </c>
      <c r="C14" t="s">
        <v>19</v>
      </c>
    </row>
    <row r="16" spans="1:6">
      <c r="A16">
        <v>0</v>
      </c>
      <c r="B16" s="5">
        <f>B7/SUM(B7:B8)</f>
        <v>0.706349206349206</v>
      </c>
      <c r="C16" s="5">
        <f>B7/SUM(B7:C7)</f>
        <v>0.847619047619048</v>
      </c>
      <c r="D16" s="5">
        <f>2*B16*C16/(B16+C16)</f>
        <v>0.770562770562771</v>
      </c>
    </row>
    <row r="17" spans="1:4">
      <c r="A17">
        <v>1</v>
      </c>
      <c r="B17" s="5">
        <f>C8/SUM(C7:C8)</f>
        <v>0.69811320754717</v>
      </c>
      <c r="C17" s="5">
        <f>C8/SUM(B8:C8)</f>
        <v>0.5</v>
      </c>
      <c r="D17" s="5">
        <f>2*B17*C17/(B17+C17)</f>
        <v>0.582677165354331</v>
      </c>
    </row>
    <row r="18" spans="1:4">
      <c r="B18" s="5"/>
      <c r="C18" s="5"/>
      <c r="D18" s="5"/>
    </row>
    <row r="19" spans="1:4">
      <c r="B19" s="5" t="s">
        <v>20</v>
      </c>
      <c r="C19" s="5" t="s">
        <v>21</v>
      </c>
      <c r="D19" s="5">
        <f>(B7+C8)/E8</f>
        <v>0.70391061452514</v>
      </c>
    </row>
    <row r="20" spans="1:4">
      <c r="A20" t="s">
        <v>22</v>
      </c>
      <c r="B20" s="5">
        <f>(B16+B17)/2</f>
        <v>0.702231206948188</v>
      </c>
      <c r="C20" s="5">
        <f>(C16+C17)/2</f>
        <v>0.673809523809524</v>
      </c>
      <c r="D20" s="5">
        <f>(D16+D17)/2</f>
        <v>0.676619967958551</v>
      </c>
    </row>
    <row r="21" spans="1:4">
      <c r="A21" t="s">
        <v>23</v>
      </c>
      <c r="B21" s="5">
        <f>D7*B16/E8+B17*D8/E8</f>
        <v>0.702944380028811</v>
      </c>
      <c r="C21" s="5">
        <f>C16*D7/E8+C17*D8/E8</f>
        <v>0.70391061452514</v>
      </c>
      <c r="D21" s="5">
        <f>D16*D7/E8+D17*D8/E8</f>
        <v>0.692889391873248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C14" sqref="C14"/>
    </sheetView>
  </sheetViews>
  <sheetFormatPr defaultColWidth="8.72727272727273" defaultRowHeight="14.5" outlineLevelRow="7" outlineLevelCol="1"/>
  <sheetData>
    <row r="1" spans="1:2">
      <c r="A1" t="s">
        <v>24</v>
      </c>
    </row>
    <row r="3" spans="1:2">
      <c r="A3" t="s">
        <v>25</v>
      </c>
    </row>
    <row r="5" spans="1:2">
      <c r="A5" s="1">
        <v>89</v>
      </c>
      <c r="B5" s="1">
        <v>16</v>
      </c>
    </row>
    <row r="6" spans="1:2">
      <c r="A6" s="1">
        <v>37</v>
      </c>
      <c r="B6" s="1">
        <v>37</v>
      </c>
    </row>
    <row r="8" spans="1:2">
      <c r="A8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kiank</dc:creator>
  <cp:lastModifiedBy>WPS_1711769575</cp:lastModifiedBy>
  <dcterms:created xsi:type="dcterms:W3CDTF">2026-09-21T07:48:00Z</dcterms:created>
  <dcterms:modified xsi:type="dcterms:W3CDTF">2026-09-23T05:53:04Z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2FE788F080344FD690E7AC8419408FCD_11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